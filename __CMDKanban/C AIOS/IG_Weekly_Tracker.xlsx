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Input" sheetId="1" state="visible" r:id="rId1"/>
    <sheet xmlns:r="http://schemas.openxmlformats.org/officeDocument/2006/relationships" name="Funnel" sheetId="2" state="visible" r:id="rId2"/>
    <sheet xmlns:r="http://schemas.openxmlformats.org/officeDocument/2006/relationships" name="Content Log" sheetId="3" state="visible" r:id="rId3"/>
    <sheet xmlns:r="http://schemas.openxmlformats.org/officeDocument/2006/relationships" name="Trends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Calibri"/>
      <b val="1"/>
      <color rgb="00E94560"/>
      <sz val="16"/>
    </font>
    <font>
      <name val="Calibri"/>
      <i val="1"/>
      <color rgb="00AAAAAA"/>
      <sz val="9"/>
    </font>
    <font>
      <name val="Calibri"/>
      <b val="1"/>
      <color rgb="00FFFFFF"/>
      <sz val="10"/>
    </font>
    <font>
      <name val="Calibri"/>
      <color rgb="00FFD166"/>
      <sz val="9"/>
    </font>
    <font>
      <name val="Calibri"/>
      <color rgb="00333333"/>
      <sz val="10"/>
    </font>
    <font>
      <name val="Calibri"/>
      <color rgb="00222222"/>
      <sz val="10"/>
    </font>
    <font>
      <name val="Calibri"/>
      <b val="1"/>
      <color rgb="00E94560"/>
      <sz val="14"/>
    </font>
    <font>
      <name val="Calibri"/>
      <b val="1"/>
      <color rgb="00E94560"/>
      <sz val="10"/>
    </font>
    <font>
      <name val="Calibri"/>
      <b val="1"/>
      <color rgb="00FFD166"/>
      <sz val="10"/>
    </font>
    <font>
      <name val="Calibri"/>
      <color rgb="00FFFFFF"/>
      <sz val="10"/>
    </font>
    <font>
      <name val="Calibri"/>
      <b val="1"/>
      <color rgb="00FFFFFF"/>
      <sz val="12"/>
    </font>
    <font>
      <name val="Calibri"/>
      <b val="1"/>
      <color rgb="00FFD166"/>
      <sz val="12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4F6FA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0" fillId="6" borderId="1" pivotButton="0" quotePrefix="0" xfId="0"/>
    <xf numFmtId="0" fontId="0" fillId="8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indent="2"/>
    </xf>
    <xf numFmtId="0" fontId="10" fillId="2" borderId="0" applyAlignment="1" pivotButton="0" quotePrefix="0" xfId="0">
      <alignment horizontal="left" vertical="center" indent="2"/>
    </xf>
    <xf numFmtId="0" fontId="11" fillId="3" borderId="0" applyAlignment="1" pivotButton="0" quotePrefix="0" xfId="0">
      <alignment horizontal="left" vertical="center" indent="2"/>
    </xf>
    <xf numFmtId="0" fontId="5" fillId="8" borderId="0" applyAlignment="1" pivotButton="0" quotePrefix="0" xfId="0">
      <alignment horizontal="left" vertical="center" indent="2"/>
    </xf>
    <xf numFmtId="0" fontId="12" fillId="2" borderId="0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2" customWidth="1" min="5" max="5"/>
    <col width="12" customWidth="1" min="6" max="6"/>
    <col width="13" customWidth="1" min="7" max="7"/>
    <col width="14" customWidth="1" min="8" max="8"/>
    <col width="13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22" customWidth="1" min="15" max="15"/>
    <col width="12" customWidth="1" min="16" max="16"/>
    <col width="12" customWidth="1" min="17" max="17"/>
    <col width="12" customWidth="1" min="18" max="18"/>
  </cols>
  <sheetData>
    <row r="1" ht="40" customHeight="1">
      <c r="A1" s="1" t="inlineStr">
        <is>
          <t>INSTAGRAM WEEKLY METRICS — INPUT SHEET</t>
        </is>
      </c>
    </row>
    <row r="2" ht="20" customHeight="1">
      <c r="A2" s="2" t="inlineStr">
        <is>
          <t>Fill yellow cells only. One row = one week.</t>
        </is>
      </c>
    </row>
    <row r="3">
      <c r="A3" s="3" t="inlineStr">
        <is>
          <t>Week Start</t>
        </is>
      </c>
      <c r="B3" s="3" t="inlineStr">
        <is>
          <t>Week End</t>
        </is>
      </c>
      <c r="C3" s="3" t="inlineStr">
        <is>
          <t>Total Views</t>
        </is>
      </c>
      <c r="D3" s="3" t="inlineStr">
        <is>
          <t>Accounts Reached</t>
        </is>
      </c>
      <c r="E3" s="3" t="inlineStr">
        <is>
          <t>Reel Views</t>
        </is>
      </c>
      <c r="F3" s="3" t="inlineStr">
        <is>
          <t>Story Views</t>
        </is>
      </c>
      <c r="G3" s="3" t="inlineStr">
        <is>
          <t>Interactions</t>
        </is>
      </c>
      <c r="H3" s="3" t="inlineStr">
        <is>
          <t>Accounts Engaged</t>
        </is>
      </c>
      <c r="I3" s="3" t="inlineStr">
        <is>
          <t>Profile Visits</t>
        </is>
      </c>
      <c r="J3" s="3" t="inlineStr">
        <is>
          <t>Total Followers</t>
        </is>
      </c>
    </row>
    <row r="4">
      <c r="A4" s="4" t="n"/>
      <c r="B4" s="4" t="n"/>
      <c r="C4" s="5" t="inlineStr">
        <is>
          <t>DMs Started</t>
        </is>
      </c>
      <c r="D4" s="5" t="inlineStr">
        <is>
          <t>New Contacts</t>
        </is>
      </c>
      <c r="E4" s="5" t="inlineStr">
        <is>
          <t>Returning Contacts</t>
        </is>
      </c>
      <c r="F4" s="5" t="inlineStr">
        <is>
          <t>Response Rate %</t>
        </is>
      </c>
      <c r="G4" s="5" t="inlineStr">
        <is>
          <t>Avg Response Time (min)</t>
        </is>
      </c>
      <c r="H4" s="5" t="inlineStr">
        <is>
          <t>Calls Booked</t>
        </is>
      </c>
      <c r="I4" s="5" t="inlineStr">
        <is>
          <t>Calls Showed</t>
        </is>
      </c>
      <c r="J4" s="5" t="inlineStr">
        <is>
          <t>Deals Closed</t>
        </is>
      </c>
    </row>
    <row r="5">
      <c r="A5" s="6" t="inlineStr">
        <is>
          <t>2026-02-28</t>
        </is>
      </c>
      <c r="B5" s="6" t="inlineStr">
        <is>
          <t>2026-03-06</t>
        </is>
      </c>
      <c r="C5" s="6" t="n">
        <v>355</v>
      </c>
      <c r="D5" s="6" t="n">
        <v>248</v>
      </c>
      <c r="E5" s="6" t="n">
        <v>46</v>
      </c>
      <c r="F5" s="6" t="n">
        <v>309</v>
      </c>
      <c r="G5" s="6" t="n">
        <v>3</v>
      </c>
      <c r="H5" s="6" t="n">
        <v>5</v>
      </c>
      <c r="I5" s="6" t="n">
        <v>12</v>
      </c>
      <c r="J5" s="6" t="n">
        <v>611</v>
      </c>
      <c r="K5" s="6" t="n">
        <v>4</v>
      </c>
      <c r="L5" s="6" t="n">
        <v>3</v>
      </c>
      <c r="M5" s="6" t="n">
        <v>0</v>
      </c>
      <c r="N5" s="6" t="n">
        <v>33.3</v>
      </c>
      <c r="O5" s="6" t="n">
        <v>30</v>
      </c>
      <c r="P5" s="6" t="n">
        <v>0</v>
      </c>
      <c r="Q5" s="6" t="n">
        <v>0</v>
      </c>
      <c r="R5" s="6" t="n">
        <v>0</v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</row>
  </sheetData>
  <mergeCells count="4">
    <mergeCell ref="B3:B4"/>
    <mergeCell ref="A1:J1"/>
    <mergeCell ref="A3:A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22" customWidth="1" min="7" max="7"/>
    <col width="22" customWidth="1" min="8" max="8"/>
    <col width="22" customWidth="1" min="9" max="9"/>
  </cols>
  <sheetData>
    <row r="1">
      <c r="A1" s="8" t="inlineStr">
        <is>
          <t>FUNNEL CONVERSION TRACKER (auto-calculated)</t>
        </is>
      </c>
    </row>
    <row r="2" ht="35" customHeight="1">
      <c r="A2" s="3" t="inlineStr">
        <is>
          <t>Week Start</t>
        </is>
      </c>
      <c r="B2" s="3" t="inlineStr">
        <is>
          <t>Reach → Profile Visit %</t>
        </is>
      </c>
      <c r="C2" s="3" t="inlineStr">
        <is>
          <t>Profile Visit → DM %</t>
        </is>
      </c>
      <c r="D2" s="3" t="inlineStr">
        <is>
          <t>DM → Call Booked %</t>
        </is>
      </c>
      <c r="E2" s="3" t="inlineStr">
        <is>
          <t>Call → Show %</t>
        </is>
      </c>
      <c r="F2" s="3" t="inlineStr">
        <is>
          <t>Show → Close %</t>
        </is>
      </c>
      <c r="G2" s="3" t="inlineStr">
        <is>
          <t>Overall Conv %
(Reach→Close)</t>
        </is>
      </c>
      <c r="H2" s="3" t="inlineStr">
        <is>
          <t>Bottleneck Stage</t>
        </is>
      </c>
      <c r="I2" s="3" t="inlineStr">
        <is>
          <t>Benchmark Status</t>
        </is>
      </c>
    </row>
    <row r="3" ht="18" customHeight="1">
      <c r="A3" s="9">
        <f>'Weekly Input'!A5</f>
        <v/>
      </c>
      <c r="B3" s="10">
        <f>IFERROR('Weekly Input'!I5/'Weekly Input'!D5*100,"")</f>
        <v/>
      </c>
      <c r="C3" s="10">
        <f>IFERROR('Weekly Input'!K5/'Weekly Input'!I5*100,"")</f>
        <v/>
      </c>
      <c r="D3" s="10">
        <f>IFERROR('Weekly Input'!P5/'Weekly Input'!K5*100,"")</f>
        <v/>
      </c>
      <c r="E3" s="10">
        <f>IFERROR('Weekly Input'!Q5/'Weekly Input'!P5*100,"")</f>
        <v/>
      </c>
      <c r="F3" s="10">
        <f>IFERROR('Weekly Input'!R5/'Weekly Input'!Q5*100,"")</f>
        <v/>
      </c>
      <c r="G3" s="10">
        <f>IFERROR('Weekly Input'!R5/'Weekly Input'!D5*100,"")</f>
        <v/>
      </c>
      <c r="H3" s="11">
        <f>IFERROR(INDEX({"Reach→Visit","Visit→DM","DM→Call","Call→Show","Show→Close"},MATCH(MIN(B3:F3),B3:F3,0)),"")</f>
        <v/>
      </c>
      <c r="I3" s="9">
        <f>IFERROR(IF(AND(B3&gt;=3,C3&gt;=5,D3&gt;=30,E3&gt;=60,F3&gt;=20),"All OK","Needs Fix"),"")</f>
        <v/>
      </c>
    </row>
    <row r="4" ht="18" customHeight="1">
      <c r="A4" s="12">
        <f>'Weekly Input'!A6</f>
        <v/>
      </c>
      <c r="B4" s="13">
        <f>IFERROR('Weekly Input'!I6/'Weekly Input'!D6*100,"")</f>
        <v/>
      </c>
      <c r="C4" s="13">
        <f>IFERROR('Weekly Input'!K6/'Weekly Input'!I6*100,"")</f>
        <v/>
      </c>
      <c r="D4" s="13">
        <f>IFERROR('Weekly Input'!P6/'Weekly Input'!K6*100,"")</f>
        <v/>
      </c>
      <c r="E4" s="13">
        <f>IFERROR('Weekly Input'!Q6/'Weekly Input'!P6*100,"")</f>
        <v/>
      </c>
      <c r="F4" s="13">
        <f>IFERROR('Weekly Input'!R6/'Weekly Input'!Q6*100,"")</f>
        <v/>
      </c>
      <c r="G4" s="13">
        <f>IFERROR('Weekly Input'!R6/'Weekly Input'!D6*100,"")</f>
        <v/>
      </c>
      <c r="H4" s="11">
        <f>IFERROR(INDEX({"Reach→Visit","Visit→DM","DM→Call","Call→Show","Show→Close"},MATCH(MIN(B4:F4),B4:F4,0)),"")</f>
        <v/>
      </c>
      <c r="I4" s="12">
        <f>IFERROR(IF(AND(B4&gt;=3,C4&gt;=5,D4&gt;=30,E4&gt;=60,F4&gt;=20),"All OK","Needs Fix"),"")</f>
        <v/>
      </c>
    </row>
    <row r="5" ht="18" customHeight="1">
      <c r="A5" s="9">
        <f>'Weekly Input'!A7</f>
        <v/>
      </c>
      <c r="B5" s="10">
        <f>IFERROR('Weekly Input'!I7/'Weekly Input'!D7*100,"")</f>
        <v/>
      </c>
      <c r="C5" s="10">
        <f>IFERROR('Weekly Input'!K7/'Weekly Input'!I7*100,"")</f>
        <v/>
      </c>
      <c r="D5" s="10">
        <f>IFERROR('Weekly Input'!P7/'Weekly Input'!K7*100,"")</f>
        <v/>
      </c>
      <c r="E5" s="10">
        <f>IFERROR('Weekly Input'!Q7/'Weekly Input'!P7*100,"")</f>
        <v/>
      </c>
      <c r="F5" s="10">
        <f>IFERROR('Weekly Input'!R7/'Weekly Input'!Q7*100,"")</f>
        <v/>
      </c>
      <c r="G5" s="10">
        <f>IFERROR('Weekly Input'!R7/'Weekly Input'!D7*100,"")</f>
        <v/>
      </c>
      <c r="H5" s="11">
        <f>IFERROR(INDEX({"Reach→Visit","Visit→DM","DM→Call","Call→Show","Show→Close"},MATCH(MIN(B5:F5),B5:F5,0)),"")</f>
        <v/>
      </c>
      <c r="I5" s="9">
        <f>IFERROR(IF(AND(B5&gt;=3,C5&gt;=5,D5&gt;=30,E5&gt;=60,F5&gt;=20),"All OK","Needs Fix"),"")</f>
        <v/>
      </c>
    </row>
    <row r="6" ht="18" customHeight="1">
      <c r="A6" s="12">
        <f>'Weekly Input'!A8</f>
        <v/>
      </c>
      <c r="B6" s="13">
        <f>IFERROR('Weekly Input'!I8/'Weekly Input'!D8*100,"")</f>
        <v/>
      </c>
      <c r="C6" s="13">
        <f>IFERROR('Weekly Input'!K8/'Weekly Input'!I8*100,"")</f>
        <v/>
      </c>
      <c r="D6" s="13">
        <f>IFERROR('Weekly Input'!P8/'Weekly Input'!K8*100,"")</f>
        <v/>
      </c>
      <c r="E6" s="13">
        <f>IFERROR('Weekly Input'!Q8/'Weekly Input'!P8*100,"")</f>
        <v/>
      </c>
      <c r="F6" s="13">
        <f>IFERROR('Weekly Input'!R8/'Weekly Input'!Q8*100,"")</f>
        <v/>
      </c>
      <c r="G6" s="13">
        <f>IFERROR('Weekly Input'!R8/'Weekly Input'!D8*100,"")</f>
        <v/>
      </c>
      <c r="H6" s="11">
        <f>IFERROR(INDEX({"Reach→Visit","Visit→DM","DM→Call","Call→Show","Show→Close"},MATCH(MIN(B6:F6),B6:F6,0)),"")</f>
        <v/>
      </c>
      <c r="I6" s="12">
        <f>IFERROR(IF(AND(B6&gt;=3,C6&gt;=5,D6&gt;=30,E6&gt;=60,F6&gt;=20),"All OK","Needs Fix"),"")</f>
        <v/>
      </c>
    </row>
    <row r="7" ht="18" customHeight="1">
      <c r="A7" s="9">
        <f>'Weekly Input'!A9</f>
        <v/>
      </c>
      <c r="B7" s="10">
        <f>IFERROR('Weekly Input'!I9/'Weekly Input'!D9*100,"")</f>
        <v/>
      </c>
      <c r="C7" s="10">
        <f>IFERROR('Weekly Input'!K9/'Weekly Input'!I9*100,"")</f>
        <v/>
      </c>
      <c r="D7" s="10">
        <f>IFERROR('Weekly Input'!P9/'Weekly Input'!K9*100,"")</f>
        <v/>
      </c>
      <c r="E7" s="10">
        <f>IFERROR('Weekly Input'!Q9/'Weekly Input'!P9*100,"")</f>
        <v/>
      </c>
      <c r="F7" s="10">
        <f>IFERROR('Weekly Input'!R9/'Weekly Input'!Q9*100,"")</f>
        <v/>
      </c>
      <c r="G7" s="10">
        <f>IFERROR('Weekly Input'!R9/'Weekly Input'!D9*100,"")</f>
        <v/>
      </c>
      <c r="H7" s="11">
        <f>IFERROR(INDEX({"Reach→Visit","Visit→DM","DM→Call","Call→Show","Show→Close"},MATCH(MIN(B7:F7),B7:F7,0)),"")</f>
        <v/>
      </c>
      <c r="I7" s="9">
        <f>IFERROR(IF(AND(B7&gt;=3,C7&gt;=5,D7&gt;=30,E7&gt;=60,F7&gt;=20),"All OK","Needs Fix"),"")</f>
        <v/>
      </c>
    </row>
    <row r="8" ht="18" customHeight="1">
      <c r="A8" s="12">
        <f>'Weekly Input'!A10</f>
        <v/>
      </c>
      <c r="B8" s="13">
        <f>IFERROR('Weekly Input'!I10/'Weekly Input'!D10*100,"")</f>
        <v/>
      </c>
      <c r="C8" s="13">
        <f>IFERROR('Weekly Input'!K10/'Weekly Input'!I10*100,"")</f>
        <v/>
      </c>
      <c r="D8" s="13">
        <f>IFERROR('Weekly Input'!P10/'Weekly Input'!K10*100,"")</f>
        <v/>
      </c>
      <c r="E8" s="13">
        <f>IFERROR('Weekly Input'!Q10/'Weekly Input'!P10*100,"")</f>
        <v/>
      </c>
      <c r="F8" s="13">
        <f>IFERROR('Weekly Input'!R10/'Weekly Input'!Q10*100,"")</f>
        <v/>
      </c>
      <c r="G8" s="13">
        <f>IFERROR('Weekly Input'!R10/'Weekly Input'!D10*100,"")</f>
        <v/>
      </c>
      <c r="H8" s="11">
        <f>IFERROR(INDEX({"Reach→Visit","Visit→DM","DM→Call","Call→Show","Show→Close"},MATCH(MIN(B8:F8),B8:F8,0)),"")</f>
        <v/>
      </c>
      <c r="I8" s="12">
        <f>IFERROR(IF(AND(B8&gt;=3,C8&gt;=5,D8&gt;=30,E8&gt;=60,F8&gt;=20),"All OK","Needs Fix"),"")</f>
        <v/>
      </c>
    </row>
    <row r="9" ht="18" customHeight="1">
      <c r="A9" s="9">
        <f>'Weekly Input'!A11</f>
        <v/>
      </c>
      <c r="B9" s="10">
        <f>IFERROR('Weekly Input'!I11/'Weekly Input'!D11*100,"")</f>
        <v/>
      </c>
      <c r="C9" s="10">
        <f>IFERROR('Weekly Input'!K11/'Weekly Input'!I11*100,"")</f>
        <v/>
      </c>
      <c r="D9" s="10">
        <f>IFERROR('Weekly Input'!P11/'Weekly Input'!K11*100,"")</f>
        <v/>
      </c>
      <c r="E9" s="10">
        <f>IFERROR('Weekly Input'!Q11/'Weekly Input'!P11*100,"")</f>
        <v/>
      </c>
      <c r="F9" s="10">
        <f>IFERROR('Weekly Input'!R11/'Weekly Input'!Q11*100,"")</f>
        <v/>
      </c>
      <c r="G9" s="10">
        <f>IFERROR('Weekly Input'!R11/'Weekly Input'!D11*100,"")</f>
        <v/>
      </c>
      <c r="H9" s="11">
        <f>IFERROR(INDEX({"Reach→Visit","Visit→DM","DM→Call","Call→Show","Show→Close"},MATCH(MIN(B9:F9),B9:F9,0)),"")</f>
        <v/>
      </c>
      <c r="I9" s="9">
        <f>IFERROR(IF(AND(B9&gt;=3,C9&gt;=5,D9&gt;=30,E9&gt;=60,F9&gt;=20),"All OK","Needs Fix"),"")</f>
        <v/>
      </c>
    </row>
    <row r="10" ht="18" customHeight="1">
      <c r="A10" s="12">
        <f>'Weekly Input'!A12</f>
        <v/>
      </c>
      <c r="B10" s="13">
        <f>IFERROR('Weekly Input'!I12/'Weekly Input'!D12*100,"")</f>
        <v/>
      </c>
      <c r="C10" s="13">
        <f>IFERROR('Weekly Input'!K12/'Weekly Input'!I12*100,"")</f>
        <v/>
      </c>
      <c r="D10" s="13">
        <f>IFERROR('Weekly Input'!P12/'Weekly Input'!K12*100,"")</f>
        <v/>
      </c>
      <c r="E10" s="13">
        <f>IFERROR('Weekly Input'!Q12/'Weekly Input'!P12*100,"")</f>
        <v/>
      </c>
      <c r="F10" s="13">
        <f>IFERROR('Weekly Input'!R12/'Weekly Input'!Q12*100,"")</f>
        <v/>
      </c>
      <c r="G10" s="13">
        <f>IFERROR('Weekly Input'!R12/'Weekly Input'!D12*100,"")</f>
        <v/>
      </c>
      <c r="H10" s="11">
        <f>IFERROR(INDEX({"Reach→Visit","Visit→DM","DM→Call","Call→Show","Show→Close"},MATCH(MIN(B10:F10),B10:F10,0)),"")</f>
        <v/>
      </c>
      <c r="I10" s="12">
        <f>IFERROR(IF(AND(B10&gt;=3,C10&gt;=5,D10&gt;=30,E10&gt;=60,F10&gt;=20),"All OK","Needs Fix"),"")</f>
        <v/>
      </c>
    </row>
    <row r="11" ht="18" customHeight="1">
      <c r="A11" s="9">
        <f>'Weekly Input'!A13</f>
        <v/>
      </c>
      <c r="B11" s="10">
        <f>IFERROR('Weekly Input'!I13/'Weekly Input'!D13*100,"")</f>
        <v/>
      </c>
      <c r="C11" s="10">
        <f>IFERROR('Weekly Input'!K13/'Weekly Input'!I13*100,"")</f>
        <v/>
      </c>
      <c r="D11" s="10">
        <f>IFERROR('Weekly Input'!P13/'Weekly Input'!K13*100,"")</f>
        <v/>
      </c>
      <c r="E11" s="10">
        <f>IFERROR('Weekly Input'!Q13/'Weekly Input'!P13*100,"")</f>
        <v/>
      </c>
      <c r="F11" s="10">
        <f>IFERROR('Weekly Input'!R13/'Weekly Input'!Q13*100,"")</f>
        <v/>
      </c>
      <c r="G11" s="10">
        <f>IFERROR('Weekly Input'!R13/'Weekly Input'!D13*100,"")</f>
        <v/>
      </c>
      <c r="H11" s="11">
        <f>IFERROR(INDEX({"Reach→Visit","Visit→DM","DM→Call","Call→Show","Show→Close"},MATCH(MIN(B11:F11),B11:F11,0)),"")</f>
        <v/>
      </c>
      <c r="I11" s="9">
        <f>IFERROR(IF(AND(B11&gt;=3,C11&gt;=5,D11&gt;=30,E11&gt;=60,F11&gt;=20),"All OK","Needs Fix"),"")</f>
        <v/>
      </c>
    </row>
    <row r="12" ht="18" customHeight="1">
      <c r="A12" s="12">
        <f>'Weekly Input'!A14</f>
        <v/>
      </c>
      <c r="B12" s="13">
        <f>IFERROR('Weekly Input'!I14/'Weekly Input'!D14*100,"")</f>
        <v/>
      </c>
      <c r="C12" s="13">
        <f>IFERROR('Weekly Input'!K14/'Weekly Input'!I14*100,"")</f>
        <v/>
      </c>
      <c r="D12" s="13">
        <f>IFERROR('Weekly Input'!P14/'Weekly Input'!K14*100,"")</f>
        <v/>
      </c>
      <c r="E12" s="13">
        <f>IFERROR('Weekly Input'!Q14/'Weekly Input'!P14*100,"")</f>
        <v/>
      </c>
      <c r="F12" s="13">
        <f>IFERROR('Weekly Input'!R14/'Weekly Input'!Q14*100,"")</f>
        <v/>
      </c>
      <c r="G12" s="13">
        <f>IFERROR('Weekly Input'!R14/'Weekly Input'!D14*100,"")</f>
        <v/>
      </c>
      <c r="H12" s="11">
        <f>IFERROR(INDEX({"Reach→Visit","Visit→DM","DM→Call","Call→Show","Show→Close"},MATCH(MIN(B12:F12),B12:F12,0)),"")</f>
        <v/>
      </c>
      <c r="I12" s="12">
        <f>IFERROR(IF(AND(B12&gt;=3,C12&gt;=5,D12&gt;=30,E12&gt;=60,F12&gt;=20),"All OK","Needs Fix"),"")</f>
        <v/>
      </c>
    </row>
    <row r="13" ht="18" customHeight="1">
      <c r="A13" s="9">
        <f>'Weekly Input'!A15</f>
        <v/>
      </c>
      <c r="B13" s="10">
        <f>IFERROR('Weekly Input'!I15/'Weekly Input'!D15*100,"")</f>
        <v/>
      </c>
      <c r="C13" s="10">
        <f>IFERROR('Weekly Input'!K15/'Weekly Input'!I15*100,"")</f>
        <v/>
      </c>
      <c r="D13" s="10">
        <f>IFERROR('Weekly Input'!P15/'Weekly Input'!K15*100,"")</f>
        <v/>
      </c>
      <c r="E13" s="10">
        <f>IFERROR('Weekly Input'!Q15/'Weekly Input'!P15*100,"")</f>
        <v/>
      </c>
      <c r="F13" s="10">
        <f>IFERROR('Weekly Input'!R15/'Weekly Input'!Q15*100,"")</f>
        <v/>
      </c>
      <c r="G13" s="10">
        <f>IFERROR('Weekly Input'!R15/'Weekly Input'!D15*100,"")</f>
        <v/>
      </c>
      <c r="H13" s="11">
        <f>IFERROR(INDEX({"Reach→Visit","Visit→DM","DM→Call","Call→Show","Show→Close"},MATCH(MIN(B13:F13),B13:F13,0)),"")</f>
        <v/>
      </c>
      <c r="I13" s="9">
        <f>IFERROR(IF(AND(B13&gt;=3,C13&gt;=5,D13&gt;=30,E13&gt;=60,F13&gt;=20),"All OK","Needs Fix"),"")</f>
        <v/>
      </c>
    </row>
    <row r="14" ht="18" customHeight="1">
      <c r="A14" s="12">
        <f>'Weekly Input'!A16</f>
        <v/>
      </c>
      <c r="B14" s="13">
        <f>IFERROR('Weekly Input'!I16/'Weekly Input'!D16*100,"")</f>
        <v/>
      </c>
      <c r="C14" s="13">
        <f>IFERROR('Weekly Input'!K16/'Weekly Input'!I16*100,"")</f>
        <v/>
      </c>
      <c r="D14" s="13">
        <f>IFERROR('Weekly Input'!P16/'Weekly Input'!K16*100,"")</f>
        <v/>
      </c>
      <c r="E14" s="13">
        <f>IFERROR('Weekly Input'!Q16/'Weekly Input'!P16*100,"")</f>
        <v/>
      </c>
      <c r="F14" s="13">
        <f>IFERROR('Weekly Input'!R16/'Weekly Input'!Q16*100,"")</f>
        <v/>
      </c>
      <c r="G14" s="13">
        <f>IFERROR('Weekly Input'!R16/'Weekly Input'!D16*100,"")</f>
        <v/>
      </c>
      <c r="H14" s="11">
        <f>IFERROR(INDEX({"Reach→Visit","Visit→DM","DM→Call","Call→Show","Show→Close"},MATCH(MIN(B14:F14),B14:F14,0)),"")</f>
        <v/>
      </c>
      <c r="I14" s="12">
        <f>IFERROR(IF(AND(B14&gt;=3,C14&gt;=5,D14&gt;=30,E14&gt;=60,F14&gt;=20),"All OK","Needs Fix"),"")</f>
        <v/>
      </c>
    </row>
    <row r="15" ht="18" customHeight="1">
      <c r="A15" s="9">
        <f>'Weekly Input'!A17</f>
        <v/>
      </c>
      <c r="B15" s="10">
        <f>IFERROR('Weekly Input'!I17/'Weekly Input'!D17*100,"")</f>
        <v/>
      </c>
      <c r="C15" s="10">
        <f>IFERROR('Weekly Input'!K17/'Weekly Input'!I17*100,"")</f>
        <v/>
      </c>
      <c r="D15" s="10">
        <f>IFERROR('Weekly Input'!P17/'Weekly Input'!K17*100,"")</f>
        <v/>
      </c>
      <c r="E15" s="10">
        <f>IFERROR('Weekly Input'!Q17/'Weekly Input'!P17*100,"")</f>
        <v/>
      </c>
      <c r="F15" s="10">
        <f>IFERROR('Weekly Input'!R17/'Weekly Input'!Q17*100,"")</f>
        <v/>
      </c>
      <c r="G15" s="10">
        <f>IFERROR('Weekly Input'!R17/'Weekly Input'!D17*100,"")</f>
        <v/>
      </c>
      <c r="H15" s="11">
        <f>IFERROR(INDEX({"Reach→Visit","Visit→DM","DM→Call","Call→Show","Show→Close"},MATCH(MIN(B15:F15),B15:F15,0)),"")</f>
        <v/>
      </c>
      <c r="I15" s="9">
        <f>IFERROR(IF(AND(B15&gt;=3,C15&gt;=5,D15&gt;=30,E15&gt;=60,F15&gt;=20),"All OK","Needs Fix"),"")</f>
        <v/>
      </c>
    </row>
    <row r="16" ht="18" customHeight="1">
      <c r="A16" s="12">
        <f>'Weekly Input'!A18</f>
        <v/>
      </c>
      <c r="B16" s="13">
        <f>IFERROR('Weekly Input'!I18/'Weekly Input'!D18*100,"")</f>
        <v/>
      </c>
      <c r="C16" s="13">
        <f>IFERROR('Weekly Input'!K18/'Weekly Input'!I18*100,"")</f>
        <v/>
      </c>
      <c r="D16" s="13">
        <f>IFERROR('Weekly Input'!P18/'Weekly Input'!K18*100,"")</f>
        <v/>
      </c>
      <c r="E16" s="13">
        <f>IFERROR('Weekly Input'!Q18/'Weekly Input'!P18*100,"")</f>
        <v/>
      </c>
      <c r="F16" s="13">
        <f>IFERROR('Weekly Input'!R18/'Weekly Input'!Q18*100,"")</f>
        <v/>
      </c>
      <c r="G16" s="13">
        <f>IFERROR('Weekly Input'!R18/'Weekly Input'!D18*100,"")</f>
        <v/>
      </c>
      <c r="H16" s="11">
        <f>IFERROR(INDEX({"Reach→Visit","Visit→DM","DM→Call","Call→Show","Show→Close"},MATCH(MIN(B16:F16),B16:F16,0)),"")</f>
        <v/>
      </c>
      <c r="I16" s="12">
        <f>IFERROR(IF(AND(B16&gt;=3,C16&gt;=5,D16&gt;=30,E16&gt;=60,F16&gt;=20),"All OK","Needs Fix"),"")</f>
        <v/>
      </c>
    </row>
    <row r="17" ht="18" customHeight="1">
      <c r="A17" s="9">
        <f>'Weekly Input'!A19</f>
        <v/>
      </c>
      <c r="B17" s="10">
        <f>IFERROR('Weekly Input'!I19/'Weekly Input'!D19*100,"")</f>
        <v/>
      </c>
      <c r="C17" s="10">
        <f>IFERROR('Weekly Input'!K19/'Weekly Input'!I19*100,"")</f>
        <v/>
      </c>
      <c r="D17" s="10">
        <f>IFERROR('Weekly Input'!P19/'Weekly Input'!K19*100,"")</f>
        <v/>
      </c>
      <c r="E17" s="10">
        <f>IFERROR('Weekly Input'!Q19/'Weekly Input'!P19*100,"")</f>
        <v/>
      </c>
      <c r="F17" s="10">
        <f>IFERROR('Weekly Input'!R19/'Weekly Input'!Q19*100,"")</f>
        <v/>
      </c>
      <c r="G17" s="10">
        <f>IFERROR('Weekly Input'!R19/'Weekly Input'!D19*100,"")</f>
        <v/>
      </c>
      <c r="H17" s="11">
        <f>IFERROR(INDEX({"Reach→Visit","Visit→DM","DM→Call","Call→Show","Show→Close"},MATCH(MIN(B17:F17),B17:F17,0)),"")</f>
        <v/>
      </c>
      <c r="I17" s="9">
        <f>IFERROR(IF(AND(B17&gt;=3,C17&gt;=5,D17&gt;=30,E17&gt;=60,F17&gt;=20),"All OK","Needs Fix"),"")</f>
        <v/>
      </c>
    </row>
    <row r="18" ht="18" customHeight="1">
      <c r="A18" s="12">
        <f>'Weekly Input'!A20</f>
        <v/>
      </c>
      <c r="B18" s="13">
        <f>IFERROR('Weekly Input'!I20/'Weekly Input'!D20*100,"")</f>
        <v/>
      </c>
      <c r="C18" s="13">
        <f>IFERROR('Weekly Input'!K20/'Weekly Input'!I20*100,"")</f>
        <v/>
      </c>
      <c r="D18" s="13">
        <f>IFERROR('Weekly Input'!P20/'Weekly Input'!K20*100,"")</f>
        <v/>
      </c>
      <c r="E18" s="13">
        <f>IFERROR('Weekly Input'!Q20/'Weekly Input'!P20*100,"")</f>
        <v/>
      </c>
      <c r="F18" s="13">
        <f>IFERROR('Weekly Input'!R20/'Weekly Input'!Q20*100,"")</f>
        <v/>
      </c>
      <c r="G18" s="13">
        <f>IFERROR('Weekly Input'!R20/'Weekly Input'!D20*100,"")</f>
        <v/>
      </c>
      <c r="H18" s="11">
        <f>IFERROR(INDEX({"Reach→Visit","Visit→DM","DM→Call","Call→Show","Show→Close"},MATCH(MIN(B18:F18),B18:F18,0)),"")</f>
        <v/>
      </c>
      <c r="I18" s="12">
        <f>IFERROR(IF(AND(B18&gt;=3,C18&gt;=5,D18&gt;=30,E18&gt;=60,F18&gt;=20),"All OK","Needs Fix"),"")</f>
        <v/>
      </c>
    </row>
    <row r="19" ht="18" customHeight="1">
      <c r="A19" s="9">
        <f>'Weekly Input'!A21</f>
        <v/>
      </c>
      <c r="B19" s="10">
        <f>IFERROR('Weekly Input'!I21/'Weekly Input'!D21*100,"")</f>
        <v/>
      </c>
      <c r="C19" s="10">
        <f>IFERROR('Weekly Input'!K21/'Weekly Input'!I21*100,"")</f>
        <v/>
      </c>
      <c r="D19" s="10">
        <f>IFERROR('Weekly Input'!P21/'Weekly Input'!K21*100,"")</f>
        <v/>
      </c>
      <c r="E19" s="10">
        <f>IFERROR('Weekly Input'!Q21/'Weekly Input'!P21*100,"")</f>
        <v/>
      </c>
      <c r="F19" s="10">
        <f>IFERROR('Weekly Input'!R21/'Weekly Input'!Q21*100,"")</f>
        <v/>
      </c>
      <c r="G19" s="10">
        <f>IFERROR('Weekly Input'!R21/'Weekly Input'!D21*100,"")</f>
        <v/>
      </c>
      <c r="H19" s="11">
        <f>IFERROR(INDEX({"Reach→Visit","Visit→DM","DM→Call","Call→Show","Show→Close"},MATCH(MIN(B19:F19),B19:F19,0)),"")</f>
        <v/>
      </c>
      <c r="I19" s="9">
        <f>IFERROR(IF(AND(B19&gt;=3,C19&gt;=5,D19&gt;=30,E19&gt;=60,F19&gt;=20),"All OK","Needs Fix"),"")</f>
        <v/>
      </c>
    </row>
    <row r="20" ht="18" customHeight="1">
      <c r="A20" s="12">
        <f>'Weekly Input'!A22</f>
        <v/>
      </c>
      <c r="B20" s="13">
        <f>IFERROR('Weekly Input'!I22/'Weekly Input'!D22*100,"")</f>
        <v/>
      </c>
      <c r="C20" s="13">
        <f>IFERROR('Weekly Input'!K22/'Weekly Input'!I22*100,"")</f>
        <v/>
      </c>
      <c r="D20" s="13">
        <f>IFERROR('Weekly Input'!P22/'Weekly Input'!K22*100,"")</f>
        <v/>
      </c>
      <c r="E20" s="13">
        <f>IFERROR('Weekly Input'!Q22/'Weekly Input'!P22*100,"")</f>
        <v/>
      </c>
      <c r="F20" s="13">
        <f>IFERROR('Weekly Input'!R22/'Weekly Input'!Q22*100,"")</f>
        <v/>
      </c>
      <c r="G20" s="13">
        <f>IFERROR('Weekly Input'!R22/'Weekly Input'!D22*100,"")</f>
        <v/>
      </c>
      <c r="H20" s="11">
        <f>IFERROR(INDEX({"Reach→Visit","Visit→DM","DM→Call","Call→Show","Show→Close"},MATCH(MIN(B20:F20),B20:F20,0)),"")</f>
        <v/>
      </c>
      <c r="I20" s="12">
        <f>IFERROR(IF(AND(B20&gt;=3,C20&gt;=5,D20&gt;=30,E20&gt;=60,F20&gt;=20),"All OK","Needs Fix"),"")</f>
        <v/>
      </c>
    </row>
    <row r="21" ht="18" customHeight="1">
      <c r="A21" s="9">
        <f>'Weekly Input'!A23</f>
        <v/>
      </c>
      <c r="B21" s="10">
        <f>IFERROR('Weekly Input'!I23/'Weekly Input'!D23*100,"")</f>
        <v/>
      </c>
      <c r="C21" s="10">
        <f>IFERROR('Weekly Input'!K23/'Weekly Input'!I23*100,"")</f>
        <v/>
      </c>
      <c r="D21" s="10">
        <f>IFERROR('Weekly Input'!P23/'Weekly Input'!K23*100,"")</f>
        <v/>
      </c>
      <c r="E21" s="10">
        <f>IFERROR('Weekly Input'!Q23/'Weekly Input'!P23*100,"")</f>
        <v/>
      </c>
      <c r="F21" s="10">
        <f>IFERROR('Weekly Input'!R23/'Weekly Input'!Q23*100,"")</f>
        <v/>
      </c>
      <c r="G21" s="10">
        <f>IFERROR('Weekly Input'!R23/'Weekly Input'!D23*100,"")</f>
        <v/>
      </c>
      <c r="H21" s="11">
        <f>IFERROR(INDEX({"Reach→Visit","Visit→DM","DM→Call","Call→Show","Show→Close"},MATCH(MIN(B21:F21),B21:F21,0)),"")</f>
        <v/>
      </c>
      <c r="I21" s="9">
        <f>IFERROR(IF(AND(B21&gt;=3,C21&gt;=5,D21&gt;=30,E21&gt;=60,F21&gt;=20),"All OK","Needs Fix"),"")</f>
        <v/>
      </c>
    </row>
    <row r="22" ht="18" customHeight="1">
      <c r="A22" s="12">
        <f>'Weekly Input'!A24</f>
        <v/>
      </c>
      <c r="B22" s="13">
        <f>IFERROR('Weekly Input'!I24/'Weekly Input'!D24*100,"")</f>
        <v/>
      </c>
      <c r="C22" s="13">
        <f>IFERROR('Weekly Input'!K24/'Weekly Input'!I24*100,"")</f>
        <v/>
      </c>
      <c r="D22" s="13">
        <f>IFERROR('Weekly Input'!P24/'Weekly Input'!K24*100,"")</f>
        <v/>
      </c>
      <c r="E22" s="13">
        <f>IFERROR('Weekly Input'!Q24/'Weekly Input'!P24*100,"")</f>
        <v/>
      </c>
      <c r="F22" s="13">
        <f>IFERROR('Weekly Input'!R24/'Weekly Input'!Q24*100,"")</f>
        <v/>
      </c>
      <c r="G22" s="13">
        <f>IFERROR('Weekly Input'!R24/'Weekly Input'!D24*100,"")</f>
        <v/>
      </c>
      <c r="H22" s="11">
        <f>IFERROR(INDEX({"Reach→Visit","Visit→DM","DM→Call","Call→Show","Show→Close"},MATCH(MIN(B22:F22),B22:F22,0)),"")</f>
        <v/>
      </c>
      <c r="I22" s="12">
        <f>IFERROR(IF(AND(B22&gt;=3,C22&gt;=5,D22&gt;=30,E22&gt;=60,F22&gt;=20),"All OK","Needs Fix"),"")</f>
        <v/>
      </c>
    </row>
    <row r="23" ht="18" customHeight="1">
      <c r="A23" s="9">
        <f>'Weekly Input'!A25</f>
        <v/>
      </c>
      <c r="B23" s="10">
        <f>IFERROR('Weekly Input'!I25/'Weekly Input'!D25*100,"")</f>
        <v/>
      </c>
      <c r="C23" s="10">
        <f>IFERROR('Weekly Input'!K25/'Weekly Input'!I25*100,"")</f>
        <v/>
      </c>
      <c r="D23" s="10">
        <f>IFERROR('Weekly Input'!P25/'Weekly Input'!K25*100,"")</f>
        <v/>
      </c>
      <c r="E23" s="10">
        <f>IFERROR('Weekly Input'!Q25/'Weekly Input'!P25*100,"")</f>
        <v/>
      </c>
      <c r="F23" s="10">
        <f>IFERROR('Weekly Input'!R25/'Weekly Input'!Q25*100,"")</f>
        <v/>
      </c>
      <c r="G23" s="10">
        <f>IFERROR('Weekly Input'!R25/'Weekly Input'!D25*100,"")</f>
        <v/>
      </c>
      <c r="H23" s="11">
        <f>IFERROR(INDEX({"Reach→Visit","Visit→DM","DM→Call","Call→Show","Show→Close"},MATCH(MIN(B23:F23),B23:F23,0)),"")</f>
        <v/>
      </c>
      <c r="I23" s="9">
        <f>IFERROR(IF(AND(B23&gt;=3,C23&gt;=5,D23&gt;=30,E23&gt;=60,F23&gt;=20),"All OK","Needs Fix"),"")</f>
        <v/>
      </c>
    </row>
    <row r="24" ht="18" customHeight="1">
      <c r="A24" s="12">
        <f>'Weekly Input'!A26</f>
        <v/>
      </c>
      <c r="B24" s="13">
        <f>IFERROR('Weekly Input'!I26/'Weekly Input'!D26*100,"")</f>
        <v/>
      </c>
      <c r="C24" s="13">
        <f>IFERROR('Weekly Input'!K26/'Weekly Input'!I26*100,"")</f>
        <v/>
      </c>
      <c r="D24" s="13">
        <f>IFERROR('Weekly Input'!P26/'Weekly Input'!K26*100,"")</f>
        <v/>
      </c>
      <c r="E24" s="13">
        <f>IFERROR('Weekly Input'!Q26/'Weekly Input'!P26*100,"")</f>
        <v/>
      </c>
      <c r="F24" s="13">
        <f>IFERROR('Weekly Input'!R26/'Weekly Input'!Q26*100,"")</f>
        <v/>
      </c>
      <c r="G24" s="13">
        <f>IFERROR('Weekly Input'!R26/'Weekly Input'!D26*100,"")</f>
        <v/>
      </c>
      <c r="H24" s="11">
        <f>IFERROR(INDEX({"Reach→Visit","Visit→DM","DM→Call","Call→Show","Show→Close"},MATCH(MIN(B24:F24),B24:F24,0)),"")</f>
        <v/>
      </c>
      <c r="I24" s="12">
        <f>IFERROR(IF(AND(B24&gt;=3,C24&gt;=5,D24&gt;=30,E24&gt;=60,F24&gt;=20),"All OK","Needs Fix"),"")</f>
        <v/>
      </c>
    </row>
    <row r="25" ht="18" customHeight="1">
      <c r="A25" s="9">
        <f>'Weekly Input'!A27</f>
        <v/>
      </c>
      <c r="B25" s="10">
        <f>IFERROR('Weekly Input'!I27/'Weekly Input'!D27*100,"")</f>
        <v/>
      </c>
      <c r="C25" s="10">
        <f>IFERROR('Weekly Input'!K27/'Weekly Input'!I27*100,"")</f>
        <v/>
      </c>
      <c r="D25" s="10">
        <f>IFERROR('Weekly Input'!P27/'Weekly Input'!K27*100,"")</f>
        <v/>
      </c>
      <c r="E25" s="10">
        <f>IFERROR('Weekly Input'!Q27/'Weekly Input'!P27*100,"")</f>
        <v/>
      </c>
      <c r="F25" s="10">
        <f>IFERROR('Weekly Input'!R27/'Weekly Input'!Q27*100,"")</f>
        <v/>
      </c>
      <c r="G25" s="10">
        <f>IFERROR('Weekly Input'!R27/'Weekly Input'!D27*100,"")</f>
        <v/>
      </c>
      <c r="H25" s="11">
        <f>IFERROR(INDEX({"Reach→Visit","Visit→DM","DM→Call","Call→Show","Show→Close"},MATCH(MIN(B25:F25),B25:F25,0)),"")</f>
        <v/>
      </c>
      <c r="I25" s="9">
        <f>IFERROR(IF(AND(B25&gt;=3,C25&gt;=5,D25&gt;=30,E25&gt;=60,F25&gt;=20),"All OK","Needs Fix"),"")</f>
        <v/>
      </c>
    </row>
    <row r="26" ht="18" customHeight="1">
      <c r="A26" s="12">
        <f>'Weekly Input'!A28</f>
        <v/>
      </c>
      <c r="B26" s="13">
        <f>IFERROR('Weekly Input'!I28/'Weekly Input'!D28*100,"")</f>
        <v/>
      </c>
      <c r="C26" s="13">
        <f>IFERROR('Weekly Input'!K28/'Weekly Input'!I28*100,"")</f>
        <v/>
      </c>
      <c r="D26" s="13">
        <f>IFERROR('Weekly Input'!P28/'Weekly Input'!K28*100,"")</f>
        <v/>
      </c>
      <c r="E26" s="13">
        <f>IFERROR('Weekly Input'!Q28/'Weekly Input'!P28*100,"")</f>
        <v/>
      </c>
      <c r="F26" s="13">
        <f>IFERROR('Weekly Input'!R28/'Weekly Input'!Q28*100,"")</f>
        <v/>
      </c>
      <c r="G26" s="13">
        <f>IFERROR('Weekly Input'!R28/'Weekly Input'!D28*100,"")</f>
        <v/>
      </c>
      <c r="H26" s="11">
        <f>IFERROR(INDEX({"Reach→Visit","Visit→DM","DM→Call","Call→Show","Show→Close"},MATCH(MIN(B26:F26),B26:F26,0)),"")</f>
        <v/>
      </c>
      <c r="I26" s="12">
        <f>IFERROR(IF(AND(B26&gt;=3,C26&gt;=5,D26&gt;=30,E26&gt;=60,F26&gt;=20),"All OK","Needs Fix"),"")</f>
        <v/>
      </c>
    </row>
    <row r="27" ht="18" customHeight="1">
      <c r="A27" s="9">
        <f>'Weekly Input'!A29</f>
        <v/>
      </c>
      <c r="B27" s="10">
        <f>IFERROR('Weekly Input'!I29/'Weekly Input'!D29*100,"")</f>
        <v/>
      </c>
      <c r="C27" s="10">
        <f>IFERROR('Weekly Input'!K29/'Weekly Input'!I29*100,"")</f>
        <v/>
      </c>
      <c r="D27" s="10">
        <f>IFERROR('Weekly Input'!P29/'Weekly Input'!K29*100,"")</f>
        <v/>
      </c>
      <c r="E27" s="10">
        <f>IFERROR('Weekly Input'!Q29/'Weekly Input'!P29*100,"")</f>
        <v/>
      </c>
      <c r="F27" s="10">
        <f>IFERROR('Weekly Input'!R29/'Weekly Input'!Q29*100,"")</f>
        <v/>
      </c>
      <c r="G27" s="10">
        <f>IFERROR('Weekly Input'!R29/'Weekly Input'!D29*100,"")</f>
        <v/>
      </c>
      <c r="H27" s="11">
        <f>IFERROR(INDEX({"Reach→Visit","Visit→DM","DM→Call","Call→Show","Show→Close"},MATCH(MIN(B27:F27),B27:F27,0)),"")</f>
        <v/>
      </c>
      <c r="I27" s="9">
        <f>IFERROR(IF(AND(B27&gt;=3,C27&gt;=5,D27&gt;=30,E27&gt;=60,F27&gt;=20),"All OK","Needs Fix"),"")</f>
        <v/>
      </c>
    </row>
    <row r="28" ht="18" customHeight="1">
      <c r="A28" s="12">
        <f>'Weekly Input'!A30</f>
        <v/>
      </c>
      <c r="B28" s="13">
        <f>IFERROR('Weekly Input'!I30/'Weekly Input'!D30*100,"")</f>
        <v/>
      </c>
      <c r="C28" s="13">
        <f>IFERROR('Weekly Input'!K30/'Weekly Input'!I30*100,"")</f>
        <v/>
      </c>
      <c r="D28" s="13">
        <f>IFERROR('Weekly Input'!P30/'Weekly Input'!K30*100,"")</f>
        <v/>
      </c>
      <c r="E28" s="13">
        <f>IFERROR('Weekly Input'!Q30/'Weekly Input'!P30*100,"")</f>
        <v/>
      </c>
      <c r="F28" s="13">
        <f>IFERROR('Weekly Input'!R30/'Weekly Input'!Q30*100,"")</f>
        <v/>
      </c>
      <c r="G28" s="13">
        <f>IFERROR('Weekly Input'!R30/'Weekly Input'!D30*100,"")</f>
        <v/>
      </c>
      <c r="H28" s="11">
        <f>IFERROR(INDEX({"Reach→Visit","Visit→DM","DM→Call","Call→Show","Show→Close"},MATCH(MIN(B28:F28),B28:F28,0)),"")</f>
        <v/>
      </c>
      <c r="I28" s="12">
        <f>IFERROR(IF(AND(B28&gt;=3,C28&gt;=5,D28&gt;=30,E28&gt;=60,F28&gt;=20),"All OK","Needs Fix"),"")</f>
        <v/>
      </c>
    </row>
    <row r="35">
      <c r="A35" s="14" t="inlineStr">
        <is>
          <t>BENCHMARKS:  Reach→Visit ≥3%  |  Visit→DM ≥5%  |  DM→Call ≥30%  |  Call→Show ≥60%  |  Show→Close ≥20%</t>
        </is>
      </c>
    </row>
  </sheetData>
  <mergeCells count="2">
    <mergeCell ref="A1:I1"/>
    <mergeCell ref="A35:I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32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6" customWidth="1" min="10" max="10"/>
    <col width="14" customWidth="1" min="11" max="11"/>
    <col width="28" customWidth="1" min="12" max="12"/>
  </cols>
  <sheetData>
    <row r="1">
      <c r="A1" s="8" t="inlineStr">
        <is>
          <t>CONTENT LOG — Per Post Performance</t>
        </is>
      </c>
    </row>
    <row r="2" ht="35" customHeight="1">
      <c r="A2" s="3" t="inlineStr">
        <is>
          <t>Week Start</t>
        </is>
      </c>
      <c r="B2" s="3" t="inlineStr">
        <is>
          <t>Post Date</t>
        </is>
      </c>
      <c r="C2" s="3" t="inlineStr">
        <is>
          <t>Post Type
(Reel/Story/Carousel)</t>
        </is>
      </c>
      <c r="D2" s="3" t="inlineStr">
        <is>
          <t>Hook / Title (short)</t>
        </is>
      </c>
      <c r="E2" s="3" t="inlineStr">
        <is>
          <t>Views / Plays</t>
        </is>
      </c>
      <c r="F2" s="3" t="inlineStr">
        <is>
          <t>Likes</t>
        </is>
      </c>
      <c r="G2" s="3" t="inlineStr">
        <is>
          <t>Comments</t>
        </is>
      </c>
      <c r="H2" s="3" t="inlineStr">
        <is>
          <t>Shares</t>
        </is>
      </c>
      <c r="I2" s="3" t="inlineStr">
        <is>
          <t>Saves</t>
        </is>
      </c>
      <c r="J2" s="3" t="inlineStr">
        <is>
          <t>Profile Visits
from Post</t>
        </is>
      </c>
      <c r="K2" s="3" t="inlineStr">
        <is>
          <t>DMs from
Post</t>
        </is>
      </c>
      <c r="L2" s="3" t="inlineStr">
        <is>
          <t>Notes / ICP Fit</t>
        </is>
      </c>
    </row>
    <row r="3">
      <c r="A3" s="9" t="inlineStr">
        <is>
          <t>2026-02-28</t>
        </is>
      </c>
      <c r="B3" s="9" t="inlineStr">
        <is>
          <t>2026-02-??</t>
        </is>
      </c>
      <c r="C3" s="6" t="inlineStr">
        <is>
          <t>Reel</t>
        </is>
      </c>
      <c r="D3" s="15" t="inlineStr">
        <is>
          <t>Drop Out, keluar dari sales awet 5 bulan</t>
        </is>
      </c>
      <c r="E3" s="6" t="n">
        <v>579</v>
      </c>
      <c r="F3" s="9" t="inlineStr"/>
      <c r="G3" s="9" t="inlineStr"/>
      <c r="H3" s="9" t="inlineStr"/>
      <c r="I3" s="9" t="inlineStr"/>
      <c r="J3" s="9" t="inlineStr"/>
      <c r="K3" s="9" t="inlineStr"/>
      <c r="L3" s="16" t="inlineStr">
        <is>
          <t>Best performer</t>
        </is>
      </c>
    </row>
    <row r="4">
      <c r="A4" s="12" t="inlineStr">
        <is>
          <t>2026-02-28</t>
        </is>
      </c>
      <c r="B4" s="12" t="inlineStr">
        <is>
          <t>2026-02-??</t>
        </is>
      </c>
      <c r="C4" s="6" t="inlineStr">
        <is>
          <t>Reel</t>
        </is>
      </c>
      <c r="D4" s="15" t="inlineStr">
        <is>
          <t>IZIN Buktiin sama mama bisa hidup dari Jualan AI</t>
        </is>
      </c>
      <c r="E4" s="6" t="n">
        <v>110</v>
      </c>
      <c r="F4" s="12" t="inlineStr"/>
      <c r="G4" s="12" t="inlineStr"/>
      <c r="H4" s="12" t="inlineStr"/>
      <c r="I4" s="12" t="inlineStr"/>
      <c r="J4" s="12" t="inlineStr"/>
      <c r="K4" s="12" t="inlineStr"/>
      <c r="L4" s="17" t="inlineStr"/>
    </row>
    <row r="5">
      <c r="A5" s="9" t="inlineStr">
        <is>
          <t>2026-02-28</t>
        </is>
      </c>
      <c r="B5" s="9" t="inlineStr">
        <is>
          <t>2026-02-??</t>
        </is>
      </c>
      <c r="C5" s="6" t="inlineStr">
        <is>
          <t>Reel</t>
        </is>
      </c>
      <c r="D5" s="15" t="inlineStr">
        <is>
          <t>POV: Jadi Sales Mobil 5 Bulan masih Gagal closing</t>
        </is>
      </c>
      <c r="E5" s="6" t="n">
        <v>83</v>
      </c>
      <c r="F5" s="9" t="inlineStr"/>
      <c r="G5" s="9" t="inlineStr"/>
      <c r="H5" s="9" t="inlineStr"/>
      <c r="I5" s="9" t="inlineStr"/>
      <c r="J5" s="9" t="inlineStr"/>
      <c r="K5" s="9" t="inlineStr"/>
      <c r="L5" s="16" t="inlineStr"/>
    </row>
    <row r="6">
      <c r="A6" s="12" t="inlineStr">
        <is>
          <t>2026-02-28</t>
        </is>
      </c>
      <c r="B6" s="12" t="inlineStr">
        <is>
          <t>2026-02-??</t>
        </is>
      </c>
      <c r="C6" s="6" t="inlineStr">
        <is>
          <t>Reel</t>
        </is>
      </c>
      <c r="D6" s="15" t="inlineStr">
        <is>
          <t>lu mungkin taunya...</t>
        </is>
      </c>
      <c r="E6" s="6" t="n">
        <v>56</v>
      </c>
      <c r="F6" s="12" t="inlineStr"/>
      <c r="G6" s="12" t="inlineStr"/>
      <c r="H6" s="12" t="inlineStr"/>
      <c r="I6" s="12" t="inlineStr"/>
      <c r="J6" s="12" t="inlineStr"/>
      <c r="K6" s="12" t="inlineStr"/>
      <c r="L6" s="17" t="inlineStr"/>
    </row>
    <row r="7">
      <c r="A7" s="9" t="inlineStr">
        <is>
          <t>2026-02-28</t>
        </is>
      </c>
      <c r="B7" s="9" t="inlineStr">
        <is>
          <t>2026-02-??</t>
        </is>
      </c>
      <c r="C7" s="6" t="inlineStr">
        <is>
          <t>Reel</t>
        </is>
      </c>
      <c r="D7" s="15" t="inlineStr">
        <is>
          <t>Gua ada Pertanyaan</t>
        </is>
      </c>
      <c r="E7" s="6" t="n">
        <v>53</v>
      </c>
      <c r="F7" s="9" t="inlineStr"/>
      <c r="G7" s="9" t="inlineStr"/>
      <c r="H7" s="9" t="inlineStr"/>
      <c r="I7" s="9" t="inlineStr"/>
      <c r="J7" s="9" t="inlineStr"/>
      <c r="K7" s="9" t="inlineStr"/>
      <c r="L7" s="16" t="inlineStr"/>
    </row>
    <row r="8">
      <c r="A8" s="12" t="inlineStr">
        <is>
          <t>2026-02-28</t>
        </is>
      </c>
      <c r="B8" s="12" t="inlineStr">
        <is>
          <t>2026-02-??</t>
        </is>
      </c>
      <c r="C8" s="6" t="inlineStr">
        <is>
          <t>Reel</t>
        </is>
      </c>
      <c r="D8" s="15" t="inlineStr">
        <is>
          <t>bikin konten di 2026</t>
        </is>
      </c>
      <c r="E8" s="6" t="n">
        <v>45</v>
      </c>
      <c r="F8" s="12" t="inlineStr"/>
      <c r="G8" s="12" t="inlineStr"/>
      <c r="H8" s="12" t="inlineStr"/>
      <c r="I8" s="12" t="inlineStr"/>
      <c r="J8" s="12" t="inlineStr"/>
      <c r="K8" s="12" t="inlineStr"/>
      <c r="L8" s="17" t="inlineStr"/>
    </row>
    <row r="9">
      <c r="A9" s="9" t="inlineStr">
        <is>
          <t>2026-02-28</t>
        </is>
      </c>
      <c r="B9" s="9" t="inlineStr">
        <is>
          <t>2026-02-??</t>
        </is>
      </c>
      <c r="C9" s="6" t="inlineStr">
        <is>
          <t>Reel</t>
        </is>
      </c>
      <c r="D9" s="15" t="inlineStr">
        <is>
          <t>Konten SEPI - konten lo sepi</t>
        </is>
      </c>
      <c r="E9" s="6" t="n">
        <v>35</v>
      </c>
      <c r="F9" s="9" t="inlineStr"/>
      <c r="G9" s="9" t="inlineStr"/>
      <c r="H9" s="9" t="inlineStr"/>
      <c r="I9" s="9" t="inlineStr"/>
      <c r="J9" s="9" t="inlineStr"/>
      <c r="K9" s="9" t="inlineStr"/>
      <c r="L9" s="16" t="inlineStr"/>
    </row>
    <row r="10">
      <c r="A10" s="12" t="inlineStr">
        <is>
          <t>2026-02-28</t>
        </is>
      </c>
      <c r="B10" s="12" t="inlineStr">
        <is>
          <t>2026-02-??</t>
        </is>
      </c>
      <c r="C10" s="6" t="inlineStr">
        <is>
          <t>Reel</t>
        </is>
      </c>
      <c r="D10" s="15" t="inlineStr">
        <is>
          <t>0 sampe 1k Views</t>
        </is>
      </c>
      <c r="E10" s="6" t="n">
        <v>28</v>
      </c>
      <c r="F10" s="12" t="inlineStr"/>
      <c r="G10" s="12" t="inlineStr"/>
      <c r="H10" s="12" t="inlineStr"/>
      <c r="I10" s="12" t="inlineStr"/>
      <c r="J10" s="12" t="inlineStr"/>
      <c r="K10" s="12" t="inlineStr"/>
      <c r="L10" s="17" t="inlineStr"/>
    </row>
    <row r="11">
      <c r="A11" s="9" t="inlineStr">
        <is>
          <t>2026-02-28</t>
        </is>
      </c>
      <c r="B11" s="9" t="inlineStr">
        <is>
          <t>2026-02-??</t>
        </is>
      </c>
      <c r="C11" s="6" t="inlineStr">
        <is>
          <t>Reel</t>
        </is>
      </c>
      <c r="D11" s="15" t="inlineStr">
        <is>
          <t>Mana Yang VIRAL?</t>
        </is>
      </c>
      <c r="E11" s="6" t="n">
        <v>24</v>
      </c>
      <c r="F11" s="9" t="inlineStr"/>
      <c r="G11" s="9" t="inlineStr"/>
      <c r="H11" s="9" t="inlineStr"/>
      <c r="I11" s="9" t="inlineStr"/>
      <c r="J11" s="9" t="inlineStr"/>
      <c r="K11" s="9" t="inlineStr"/>
      <c r="L11" s="16" t="inlineStr"/>
    </row>
    <row r="12">
      <c r="A12" s="12" t="inlineStr">
        <is>
          <t>2026-02-28</t>
        </is>
      </c>
      <c r="B12" s="12" t="inlineStr">
        <is>
          <t>2026-02-??</t>
        </is>
      </c>
      <c r="C12" s="6" t="inlineStr">
        <is>
          <t>Post</t>
        </is>
      </c>
      <c r="D12" s="15" t="inlineStr">
        <is>
          <t>Ivan Zhao article share</t>
        </is>
      </c>
      <c r="E12" s="6" t="n">
        <v>6</v>
      </c>
      <c r="F12" s="12" t="inlineStr"/>
      <c r="G12" s="12" t="inlineStr"/>
      <c r="H12" s="12" t="inlineStr"/>
      <c r="I12" s="12" t="inlineStr"/>
      <c r="J12" s="12" t="inlineStr"/>
      <c r="K12" s="12" t="inlineStr"/>
      <c r="L12" s="17" t="inlineStr"/>
    </row>
    <row r="13">
      <c r="A13" s="9" t="inlineStr">
        <is>
          <t>2026-02-28</t>
        </is>
      </c>
      <c r="B13" s="9" t="inlineStr">
        <is>
          <t>2026-02-??</t>
        </is>
      </c>
      <c r="C13" s="6" t="inlineStr">
        <is>
          <t>Reel</t>
        </is>
      </c>
      <c r="D13" s="15" t="inlineStr">
        <is>
          <t>nerding</t>
        </is>
      </c>
      <c r="E13" s="6" t="n">
        <v>4</v>
      </c>
      <c r="F13" s="9" t="inlineStr"/>
      <c r="G13" s="9" t="inlineStr"/>
      <c r="H13" s="9" t="inlineStr"/>
      <c r="I13" s="9" t="inlineStr"/>
      <c r="J13" s="9" t="inlineStr"/>
      <c r="K13" s="9" t="inlineStr"/>
      <c r="L13" s="16" t="inlineStr"/>
    </row>
    <row r="14">
      <c r="A14" s="12" t="inlineStr">
        <is>
          <t>2026-02-28</t>
        </is>
      </c>
      <c r="B14" s="12" t="inlineStr">
        <is>
          <t>2026-02-??</t>
        </is>
      </c>
      <c r="C14" s="6" t="inlineStr">
        <is>
          <t>Reel</t>
        </is>
      </c>
      <c r="D14" s="15" t="inlineStr">
        <is>
          <t>Resolusi 2026 / AI content workflow</t>
        </is>
      </c>
      <c r="E14" s="6" t="n">
        <v>4</v>
      </c>
      <c r="F14" s="12" t="inlineStr"/>
      <c r="G14" s="12" t="inlineStr"/>
      <c r="H14" s="12" t="inlineStr"/>
      <c r="I14" s="12" t="inlineStr"/>
      <c r="J14" s="12" t="inlineStr"/>
      <c r="K14" s="12" t="inlineStr"/>
      <c r="L14" s="17" t="inlineStr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</row>
    <row r="6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</row>
    <row r="6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</row>
    <row r="72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</row>
    <row r="74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</row>
    <row r="76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</row>
    <row r="7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</row>
    <row r="80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</row>
    <row r="82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</row>
    <row r="84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</row>
    <row r="86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</row>
    <row r="8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</row>
    <row r="90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</row>
    <row r="92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</row>
    <row r="94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</row>
    <row r="96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</row>
    <row r="9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</row>
    <row r="100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5" customWidth="1" min="4" max="4"/>
    <col width="14" customWidth="1" min="5" max="5"/>
    <col width="14" customWidth="1" min="6" max="6"/>
    <col width="16" customWidth="1" min="7" max="7"/>
    <col width="18" customWidth="1" min="8" max="8"/>
  </cols>
  <sheetData>
    <row r="1">
      <c r="A1" s="8" t="inlineStr">
        <is>
          <t>WEEK-OVER-WEEK TRENDS</t>
        </is>
      </c>
    </row>
    <row r="2">
      <c r="A2" s="3" t="inlineStr">
        <is>
          <t>Week Start</t>
        </is>
      </c>
      <c r="B2" s="3" t="inlineStr">
        <is>
          <t>Total Views</t>
        </is>
      </c>
      <c r="C2" s="3" t="inlineStr">
        <is>
          <t>Accounts Reached</t>
        </is>
      </c>
      <c r="D2" s="3" t="inlineStr">
        <is>
          <t>Profile Visits</t>
        </is>
      </c>
      <c r="E2" s="3" t="inlineStr">
        <is>
          <t>DMs Started</t>
        </is>
      </c>
      <c r="F2" s="3" t="inlineStr">
        <is>
          <t>Followers</t>
        </is>
      </c>
      <c r="G2" s="3" t="inlineStr">
        <is>
          <t>Views WoW %</t>
        </is>
      </c>
      <c r="H2" s="3" t="inlineStr">
        <is>
          <t>Followers WoW %</t>
        </is>
      </c>
    </row>
    <row r="3">
      <c r="A3" s="9">
        <f>'Weekly Input'!A5</f>
        <v/>
      </c>
      <c r="B3" s="9">
        <f>'Weekly Input'!C5</f>
        <v/>
      </c>
      <c r="C3" s="9">
        <f>'Weekly Input'!D5</f>
        <v/>
      </c>
      <c r="D3" s="9">
        <f>'Weekly Input'!I5</f>
        <v/>
      </c>
      <c r="E3" s="9">
        <f>'Weekly Input'!K5</f>
        <v/>
      </c>
      <c r="F3" s="9">
        <f>'Weekly Input'!J5</f>
        <v/>
      </c>
      <c r="G3" s="20" t="inlineStr">
        <is>
          <t>—</t>
        </is>
      </c>
      <c r="H3" s="20" t="inlineStr">
        <is>
          <t>—</t>
        </is>
      </c>
    </row>
    <row r="4">
      <c r="A4" s="12">
        <f>'Weekly Input'!A6</f>
        <v/>
      </c>
      <c r="B4" s="12">
        <f>'Weekly Input'!C6</f>
        <v/>
      </c>
      <c r="C4" s="12">
        <f>'Weekly Input'!D6</f>
        <v/>
      </c>
      <c r="D4" s="12">
        <f>'Weekly Input'!I6</f>
        <v/>
      </c>
      <c r="E4" s="12">
        <f>'Weekly Input'!K6</f>
        <v/>
      </c>
      <c r="F4" s="12">
        <f>'Weekly Input'!J6</f>
        <v/>
      </c>
      <c r="G4" s="13">
        <f>IFERROR((B4-B3)/B3*100,"")</f>
        <v/>
      </c>
      <c r="H4" s="13">
        <f>IFERROR((F4-F3)/F3*100,"")</f>
        <v/>
      </c>
    </row>
    <row r="5">
      <c r="A5" s="9">
        <f>'Weekly Input'!A7</f>
        <v/>
      </c>
      <c r="B5" s="9">
        <f>'Weekly Input'!C7</f>
        <v/>
      </c>
      <c r="C5" s="9">
        <f>'Weekly Input'!D7</f>
        <v/>
      </c>
      <c r="D5" s="9">
        <f>'Weekly Input'!I7</f>
        <v/>
      </c>
      <c r="E5" s="9">
        <f>'Weekly Input'!K7</f>
        <v/>
      </c>
      <c r="F5" s="9">
        <f>'Weekly Input'!J7</f>
        <v/>
      </c>
      <c r="G5" s="10">
        <f>IFERROR((B5-B4)/B4*100,"")</f>
        <v/>
      </c>
      <c r="H5" s="10">
        <f>IFERROR((F5-F4)/F4*100,"")</f>
        <v/>
      </c>
    </row>
    <row r="6">
      <c r="A6" s="12">
        <f>'Weekly Input'!A8</f>
        <v/>
      </c>
      <c r="B6" s="12">
        <f>'Weekly Input'!C8</f>
        <v/>
      </c>
      <c r="C6" s="12">
        <f>'Weekly Input'!D8</f>
        <v/>
      </c>
      <c r="D6" s="12">
        <f>'Weekly Input'!I8</f>
        <v/>
      </c>
      <c r="E6" s="12">
        <f>'Weekly Input'!K8</f>
        <v/>
      </c>
      <c r="F6" s="12">
        <f>'Weekly Input'!J8</f>
        <v/>
      </c>
      <c r="G6" s="13">
        <f>IFERROR((B6-B5)/B5*100,"")</f>
        <v/>
      </c>
      <c r="H6" s="13">
        <f>IFERROR((F6-F5)/F5*100,"")</f>
        <v/>
      </c>
    </row>
    <row r="7">
      <c r="A7" s="9">
        <f>'Weekly Input'!A9</f>
        <v/>
      </c>
      <c r="B7" s="9">
        <f>'Weekly Input'!C9</f>
        <v/>
      </c>
      <c r="C7" s="9">
        <f>'Weekly Input'!D9</f>
        <v/>
      </c>
      <c r="D7" s="9">
        <f>'Weekly Input'!I9</f>
        <v/>
      </c>
      <c r="E7" s="9">
        <f>'Weekly Input'!K9</f>
        <v/>
      </c>
      <c r="F7" s="9">
        <f>'Weekly Input'!J9</f>
        <v/>
      </c>
      <c r="G7" s="10">
        <f>IFERROR((B7-B6)/B6*100,"")</f>
        <v/>
      </c>
      <c r="H7" s="10">
        <f>IFERROR((F7-F6)/F6*100,"")</f>
        <v/>
      </c>
    </row>
    <row r="8">
      <c r="A8" s="12">
        <f>'Weekly Input'!A10</f>
        <v/>
      </c>
      <c r="B8" s="12">
        <f>'Weekly Input'!C10</f>
        <v/>
      </c>
      <c r="C8" s="12">
        <f>'Weekly Input'!D10</f>
        <v/>
      </c>
      <c r="D8" s="12">
        <f>'Weekly Input'!I10</f>
        <v/>
      </c>
      <c r="E8" s="12">
        <f>'Weekly Input'!K10</f>
        <v/>
      </c>
      <c r="F8" s="12">
        <f>'Weekly Input'!J10</f>
        <v/>
      </c>
      <c r="G8" s="13">
        <f>IFERROR((B8-B7)/B7*100,"")</f>
        <v/>
      </c>
      <c r="H8" s="13">
        <f>IFERROR((F8-F7)/F7*100,"")</f>
        <v/>
      </c>
    </row>
    <row r="9">
      <c r="A9" s="9">
        <f>'Weekly Input'!A11</f>
        <v/>
      </c>
      <c r="B9" s="9">
        <f>'Weekly Input'!C11</f>
        <v/>
      </c>
      <c r="C9" s="9">
        <f>'Weekly Input'!D11</f>
        <v/>
      </c>
      <c r="D9" s="9">
        <f>'Weekly Input'!I11</f>
        <v/>
      </c>
      <c r="E9" s="9">
        <f>'Weekly Input'!K11</f>
        <v/>
      </c>
      <c r="F9" s="9">
        <f>'Weekly Input'!J11</f>
        <v/>
      </c>
      <c r="G9" s="10">
        <f>IFERROR((B9-B8)/B8*100,"")</f>
        <v/>
      </c>
      <c r="H9" s="10">
        <f>IFERROR((F9-F8)/F8*100,"")</f>
        <v/>
      </c>
    </row>
    <row r="10">
      <c r="A10" s="12">
        <f>'Weekly Input'!A12</f>
        <v/>
      </c>
      <c r="B10" s="12">
        <f>'Weekly Input'!C12</f>
        <v/>
      </c>
      <c r="C10" s="12">
        <f>'Weekly Input'!D12</f>
        <v/>
      </c>
      <c r="D10" s="12">
        <f>'Weekly Input'!I12</f>
        <v/>
      </c>
      <c r="E10" s="12">
        <f>'Weekly Input'!K12</f>
        <v/>
      </c>
      <c r="F10" s="12">
        <f>'Weekly Input'!J12</f>
        <v/>
      </c>
      <c r="G10" s="13">
        <f>IFERROR((B10-B9)/B9*100,"")</f>
        <v/>
      </c>
      <c r="H10" s="13">
        <f>IFERROR((F10-F9)/F9*100,"")</f>
        <v/>
      </c>
    </row>
    <row r="11">
      <c r="A11" s="9">
        <f>'Weekly Input'!A13</f>
        <v/>
      </c>
      <c r="B11" s="9">
        <f>'Weekly Input'!C13</f>
        <v/>
      </c>
      <c r="C11" s="9">
        <f>'Weekly Input'!D13</f>
        <v/>
      </c>
      <c r="D11" s="9">
        <f>'Weekly Input'!I13</f>
        <v/>
      </c>
      <c r="E11" s="9">
        <f>'Weekly Input'!K13</f>
        <v/>
      </c>
      <c r="F11" s="9">
        <f>'Weekly Input'!J13</f>
        <v/>
      </c>
      <c r="G11" s="10">
        <f>IFERROR((B11-B10)/B10*100,"")</f>
        <v/>
      </c>
      <c r="H11" s="10">
        <f>IFERROR((F11-F10)/F10*100,"")</f>
        <v/>
      </c>
    </row>
    <row r="12">
      <c r="A12" s="12">
        <f>'Weekly Input'!A14</f>
        <v/>
      </c>
      <c r="B12" s="12">
        <f>'Weekly Input'!C14</f>
        <v/>
      </c>
      <c r="C12" s="12">
        <f>'Weekly Input'!D14</f>
        <v/>
      </c>
      <c r="D12" s="12">
        <f>'Weekly Input'!I14</f>
        <v/>
      </c>
      <c r="E12" s="12">
        <f>'Weekly Input'!K14</f>
        <v/>
      </c>
      <c r="F12" s="12">
        <f>'Weekly Input'!J14</f>
        <v/>
      </c>
      <c r="G12" s="13">
        <f>IFERROR((B12-B11)/B11*100,"")</f>
        <v/>
      </c>
      <c r="H12" s="13">
        <f>IFERROR((F12-F11)/F11*100,"")</f>
        <v/>
      </c>
    </row>
    <row r="13">
      <c r="A13" s="9">
        <f>'Weekly Input'!A15</f>
        <v/>
      </c>
      <c r="B13" s="9">
        <f>'Weekly Input'!C15</f>
        <v/>
      </c>
      <c r="C13" s="9">
        <f>'Weekly Input'!D15</f>
        <v/>
      </c>
      <c r="D13" s="9">
        <f>'Weekly Input'!I15</f>
        <v/>
      </c>
      <c r="E13" s="9">
        <f>'Weekly Input'!K15</f>
        <v/>
      </c>
      <c r="F13" s="9">
        <f>'Weekly Input'!J15</f>
        <v/>
      </c>
      <c r="G13" s="10">
        <f>IFERROR((B13-B12)/B12*100,"")</f>
        <v/>
      </c>
      <c r="H13" s="10">
        <f>IFERROR((F13-F12)/F12*100,"")</f>
        <v/>
      </c>
    </row>
    <row r="14">
      <c r="A14" s="12">
        <f>'Weekly Input'!A16</f>
        <v/>
      </c>
      <c r="B14" s="12">
        <f>'Weekly Input'!C16</f>
        <v/>
      </c>
      <c r="C14" s="12">
        <f>'Weekly Input'!D16</f>
        <v/>
      </c>
      <c r="D14" s="12">
        <f>'Weekly Input'!I16</f>
        <v/>
      </c>
      <c r="E14" s="12">
        <f>'Weekly Input'!K16</f>
        <v/>
      </c>
      <c r="F14" s="12">
        <f>'Weekly Input'!J16</f>
        <v/>
      </c>
      <c r="G14" s="13">
        <f>IFERROR((B14-B13)/B13*100,"")</f>
        <v/>
      </c>
      <c r="H14" s="13">
        <f>IFERROR((F14-F13)/F13*100,"")</f>
        <v/>
      </c>
    </row>
    <row r="15">
      <c r="A15" s="9">
        <f>'Weekly Input'!A17</f>
        <v/>
      </c>
      <c r="B15" s="9">
        <f>'Weekly Input'!C17</f>
        <v/>
      </c>
      <c r="C15" s="9">
        <f>'Weekly Input'!D17</f>
        <v/>
      </c>
      <c r="D15" s="9">
        <f>'Weekly Input'!I17</f>
        <v/>
      </c>
      <c r="E15" s="9">
        <f>'Weekly Input'!K17</f>
        <v/>
      </c>
      <c r="F15" s="9">
        <f>'Weekly Input'!J17</f>
        <v/>
      </c>
      <c r="G15" s="10">
        <f>IFERROR((B15-B14)/B14*100,"")</f>
        <v/>
      </c>
      <c r="H15" s="10">
        <f>IFERROR((F15-F14)/F14*100,"")</f>
        <v/>
      </c>
    </row>
    <row r="16">
      <c r="A16" s="12">
        <f>'Weekly Input'!A18</f>
        <v/>
      </c>
      <c r="B16" s="12">
        <f>'Weekly Input'!C18</f>
        <v/>
      </c>
      <c r="C16" s="12">
        <f>'Weekly Input'!D18</f>
        <v/>
      </c>
      <c r="D16" s="12">
        <f>'Weekly Input'!I18</f>
        <v/>
      </c>
      <c r="E16" s="12">
        <f>'Weekly Input'!K18</f>
        <v/>
      </c>
      <c r="F16" s="12">
        <f>'Weekly Input'!J18</f>
        <v/>
      </c>
      <c r="G16" s="13">
        <f>IFERROR((B16-B15)/B15*100,"")</f>
        <v/>
      </c>
      <c r="H16" s="13">
        <f>IFERROR((F16-F15)/F15*100,"")</f>
        <v/>
      </c>
    </row>
    <row r="17">
      <c r="A17" s="9">
        <f>'Weekly Input'!A19</f>
        <v/>
      </c>
      <c r="B17" s="9">
        <f>'Weekly Input'!C19</f>
        <v/>
      </c>
      <c r="C17" s="9">
        <f>'Weekly Input'!D19</f>
        <v/>
      </c>
      <c r="D17" s="9">
        <f>'Weekly Input'!I19</f>
        <v/>
      </c>
      <c r="E17" s="9">
        <f>'Weekly Input'!K19</f>
        <v/>
      </c>
      <c r="F17" s="9">
        <f>'Weekly Input'!J19</f>
        <v/>
      </c>
      <c r="G17" s="10">
        <f>IFERROR((B17-B16)/B16*100,"")</f>
        <v/>
      </c>
      <c r="H17" s="10">
        <f>IFERROR((F17-F16)/F16*100,"")</f>
        <v/>
      </c>
    </row>
    <row r="18">
      <c r="A18" s="12">
        <f>'Weekly Input'!A20</f>
        <v/>
      </c>
      <c r="B18" s="12">
        <f>'Weekly Input'!C20</f>
        <v/>
      </c>
      <c r="C18" s="12">
        <f>'Weekly Input'!D20</f>
        <v/>
      </c>
      <c r="D18" s="12">
        <f>'Weekly Input'!I20</f>
        <v/>
      </c>
      <c r="E18" s="12">
        <f>'Weekly Input'!K20</f>
        <v/>
      </c>
      <c r="F18" s="12">
        <f>'Weekly Input'!J20</f>
        <v/>
      </c>
      <c r="G18" s="13">
        <f>IFERROR((B18-B17)/B17*100,"")</f>
        <v/>
      </c>
      <c r="H18" s="13">
        <f>IFERROR((F18-F17)/F17*100,"")</f>
        <v/>
      </c>
    </row>
    <row r="19">
      <c r="A19" s="9">
        <f>'Weekly Input'!A21</f>
        <v/>
      </c>
      <c r="B19" s="9">
        <f>'Weekly Input'!C21</f>
        <v/>
      </c>
      <c r="C19" s="9">
        <f>'Weekly Input'!D21</f>
        <v/>
      </c>
      <c r="D19" s="9">
        <f>'Weekly Input'!I21</f>
        <v/>
      </c>
      <c r="E19" s="9">
        <f>'Weekly Input'!K21</f>
        <v/>
      </c>
      <c r="F19" s="9">
        <f>'Weekly Input'!J21</f>
        <v/>
      </c>
      <c r="G19" s="10">
        <f>IFERROR((B19-B18)/B18*100,"")</f>
        <v/>
      </c>
      <c r="H19" s="10">
        <f>IFERROR((F19-F18)/F18*100,"")</f>
        <v/>
      </c>
    </row>
    <row r="20">
      <c r="A20" s="12">
        <f>'Weekly Input'!A22</f>
        <v/>
      </c>
      <c r="B20" s="12">
        <f>'Weekly Input'!C22</f>
        <v/>
      </c>
      <c r="C20" s="12">
        <f>'Weekly Input'!D22</f>
        <v/>
      </c>
      <c r="D20" s="12">
        <f>'Weekly Input'!I22</f>
        <v/>
      </c>
      <c r="E20" s="12">
        <f>'Weekly Input'!K22</f>
        <v/>
      </c>
      <c r="F20" s="12">
        <f>'Weekly Input'!J22</f>
        <v/>
      </c>
      <c r="G20" s="13">
        <f>IFERROR((B20-B19)/B19*100,"")</f>
        <v/>
      </c>
      <c r="H20" s="13">
        <f>IFERROR((F20-F19)/F19*100,"")</f>
        <v/>
      </c>
    </row>
    <row r="21">
      <c r="A21" s="9">
        <f>'Weekly Input'!A23</f>
        <v/>
      </c>
      <c r="B21" s="9">
        <f>'Weekly Input'!C23</f>
        <v/>
      </c>
      <c r="C21" s="9">
        <f>'Weekly Input'!D23</f>
        <v/>
      </c>
      <c r="D21" s="9">
        <f>'Weekly Input'!I23</f>
        <v/>
      </c>
      <c r="E21" s="9">
        <f>'Weekly Input'!K23</f>
        <v/>
      </c>
      <c r="F21" s="9">
        <f>'Weekly Input'!J23</f>
        <v/>
      </c>
      <c r="G21" s="10">
        <f>IFERROR((B21-B20)/B20*100,"")</f>
        <v/>
      </c>
      <c r="H21" s="10">
        <f>IFERROR((F21-F20)/F20*100,"")</f>
        <v/>
      </c>
    </row>
    <row r="22">
      <c r="A22" s="12">
        <f>'Weekly Input'!A24</f>
        <v/>
      </c>
      <c r="B22" s="12">
        <f>'Weekly Input'!C24</f>
        <v/>
      </c>
      <c r="C22" s="12">
        <f>'Weekly Input'!D24</f>
        <v/>
      </c>
      <c r="D22" s="12">
        <f>'Weekly Input'!I24</f>
        <v/>
      </c>
      <c r="E22" s="12">
        <f>'Weekly Input'!K24</f>
        <v/>
      </c>
      <c r="F22" s="12">
        <f>'Weekly Input'!J24</f>
        <v/>
      </c>
      <c r="G22" s="13">
        <f>IFERROR((B22-B21)/B21*100,"")</f>
        <v/>
      </c>
      <c r="H22" s="13">
        <f>IFERROR((F22-F21)/F21*100,"")</f>
        <v/>
      </c>
    </row>
    <row r="23">
      <c r="A23" s="9">
        <f>'Weekly Input'!A25</f>
        <v/>
      </c>
      <c r="B23" s="9">
        <f>'Weekly Input'!C25</f>
        <v/>
      </c>
      <c r="C23" s="9">
        <f>'Weekly Input'!D25</f>
        <v/>
      </c>
      <c r="D23" s="9">
        <f>'Weekly Input'!I25</f>
        <v/>
      </c>
      <c r="E23" s="9">
        <f>'Weekly Input'!K25</f>
        <v/>
      </c>
      <c r="F23" s="9">
        <f>'Weekly Input'!J25</f>
        <v/>
      </c>
      <c r="G23" s="10">
        <f>IFERROR((B23-B22)/B22*100,"")</f>
        <v/>
      </c>
      <c r="H23" s="10">
        <f>IFERROR((F23-F22)/F22*100,"")</f>
        <v/>
      </c>
    </row>
    <row r="24">
      <c r="A24" s="12">
        <f>'Weekly Input'!A26</f>
        <v/>
      </c>
      <c r="B24" s="12">
        <f>'Weekly Input'!C26</f>
        <v/>
      </c>
      <c r="C24" s="12">
        <f>'Weekly Input'!D26</f>
        <v/>
      </c>
      <c r="D24" s="12">
        <f>'Weekly Input'!I26</f>
        <v/>
      </c>
      <c r="E24" s="12">
        <f>'Weekly Input'!K26</f>
        <v/>
      </c>
      <c r="F24" s="12">
        <f>'Weekly Input'!J26</f>
        <v/>
      </c>
      <c r="G24" s="13">
        <f>IFERROR((B24-B23)/B23*100,"")</f>
        <v/>
      </c>
      <c r="H24" s="13">
        <f>IFERROR((F24-F23)/F23*100,"")</f>
        <v/>
      </c>
    </row>
    <row r="25">
      <c r="A25" s="9">
        <f>'Weekly Input'!A27</f>
        <v/>
      </c>
      <c r="B25" s="9">
        <f>'Weekly Input'!C27</f>
        <v/>
      </c>
      <c r="C25" s="9">
        <f>'Weekly Input'!D27</f>
        <v/>
      </c>
      <c r="D25" s="9">
        <f>'Weekly Input'!I27</f>
        <v/>
      </c>
      <c r="E25" s="9">
        <f>'Weekly Input'!K27</f>
        <v/>
      </c>
      <c r="F25" s="9">
        <f>'Weekly Input'!J27</f>
        <v/>
      </c>
      <c r="G25" s="10">
        <f>IFERROR((B25-B24)/B24*100,"")</f>
        <v/>
      </c>
      <c r="H25" s="10">
        <f>IFERROR((F25-F24)/F24*100,"")</f>
        <v/>
      </c>
    </row>
    <row r="26">
      <c r="A26" s="12">
        <f>'Weekly Input'!A28</f>
        <v/>
      </c>
      <c r="B26" s="12">
        <f>'Weekly Input'!C28</f>
        <v/>
      </c>
      <c r="C26" s="12">
        <f>'Weekly Input'!D28</f>
        <v/>
      </c>
      <c r="D26" s="12">
        <f>'Weekly Input'!I28</f>
        <v/>
      </c>
      <c r="E26" s="12">
        <f>'Weekly Input'!K28</f>
        <v/>
      </c>
      <c r="F26" s="12">
        <f>'Weekly Input'!J28</f>
        <v/>
      </c>
      <c r="G26" s="13">
        <f>IFERROR((B26-B25)/B25*100,"")</f>
        <v/>
      </c>
      <c r="H26" s="13">
        <f>IFERROR((F26-F25)/F25*100,"")</f>
        <v/>
      </c>
    </row>
    <row r="27">
      <c r="A27" s="9">
        <f>'Weekly Input'!A29</f>
        <v/>
      </c>
      <c r="B27" s="9">
        <f>'Weekly Input'!C29</f>
        <v/>
      </c>
      <c r="C27" s="9">
        <f>'Weekly Input'!D29</f>
        <v/>
      </c>
      <c r="D27" s="9">
        <f>'Weekly Input'!I29</f>
        <v/>
      </c>
      <c r="E27" s="9">
        <f>'Weekly Input'!K29</f>
        <v/>
      </c>
      <c r="F27" s="9">
        <f>'Weekly Input'!J29</f>
        <v/>
      </c>
      <c r="G27" s="10">
        <f>IFERROR((B27-B26)/B26*100,"")</f>
        <v/>
      </c>
      <c r="H27" s="10">
        <f>IFERROR((F27-F26)/F26*100,"")</f>
        <v/>
      </c>
    </row>
    <row r="28">
      <c r="A28" s="12">
        <f>'Weekly Input'!A30</f>
        <v/>
      </c>
      <c r="B28" s="12">
        <f>'Weekly Input'!C30</f>
        <v/>
      </c>
      <c r="C28" s="12">
        <f>'Weekly Input'!D30</f>
        <v/>
      </c>
      <c r="D28" s="12">
        <f>'Weekly Input'!I30</f>
        <v/>
      </c>
      <c r="E28" s="12">
        <f>'Weekly Input'!K30</f>
        <v/>
      </c>
      <c r="F28" s="12">
        <f>'Weekly Input'!J30</f>
        <v/>
      </c>
      <c r="G28" s="13">
        <f>IFERROR((B28-B27)/B27*100,"")</f>
        <v/>
      </c>
      <c r="H28" s="13">
        <f>IFERROR((F28-F27)/F27*100,"")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2" customHeight="1">
      <c r="A1" s="21" t="inlineStr">
        <is>
          <t>HOW TO USE THIS TRACKER</t>
        </is>
      </c>
    </row>
    <row r="2" ht="18" customHeight="1">
      <c r="A2" s="22" t="inlineStr"/>
    </row>
    <row r="3" ht="22" customHeight="1">
      <c r="A3" s="23" t="inlineStr">
        <is>
          <t>STEP 1 — Fill Weekly Input</t>
        </is>
      </c>
    </row>
    <row r="4" ht="18" customHeight="1">
      <c r="A4" s="24" t="inlineStr">
        <is>
          <t>Every week, add one new row in the 'Weekly Input' sheet.</t>
        </is>
      </c>
    </row>
    <row r="5" ht="18" customHeight="1">
      <c r="A5" s="24" t="inlineStr">
        <is>
          <t>Fill only the YELLOW cells. Pull data from Instagram Insights &gt; Overview.</t>
        </is>
      </c>
    </row>
    <row r="6" ht="18" customHeight="1">
      <c r="A6" s="24" t="inlineStr"/>
    </row>
    <row r="7" ht="22" customHeight="1">
      <c r="A7" s="23" t="inlineStr">
        <is>
          <t>STEP 2 — Log your content</t>
        </is>
      </c>
    </row>
    <row r="8" ht="18" customHeight="1">
      <c r="A8" s="24" t="inlineStr">
        <is>
          <t>Add each post to 'Content Log'. Minimum: Post Type, Hook/Title, Views.</t>
        </is>
      </c>
    </row>
    <row r="9" ht="18" customHeight="1">
      <c r="A9" s="24" t="inlineStr">
        <is>
          <t>Track which posts drive profile visits and DMs.</t>
        </is>
      </c>
    </row>
    <row r="10" ht="18" customHeight="1">
      <c r="A10" s="24" t="inlineStr"/>
    </row>
    <row r="11" ht="22" customHeight="1">
      <c r="A11" s="23" t="inlineStr">
        <is>
          <t>STEP 3 — Check Funnel sheet</t>
        </is>
      </c>
    </row>
    <row r="12" ht="18" customHeight="1">
      <c r="A12" s="24" t="inlineStr">
        <is>
          <t>The Funnel sheet auto-calculates conversion % at each stage.</t>
        </is>
      </c>
    </row>
    <row r="13" ht="18" customHeight="1">
      <c r="A13" s="24" t="inlineStr">
        <is>
          <t>Bottleneck column flags the weakest stage automatically.</t>
        </is>
      </c>
    </row>
    <row r="14" ht="18" customHeight="1">
      <c r="A14" s="24" t="inlineStr"/>
    </row>
    <row r="15" ht="22" customHeight="1">
      <c r="A15" s="23" t="inlineStr">
        <is>
          <t>STEP 4 — Run /cook-audit in Claude</t>
        </is>
      </c>
    </row>
    <row r="16" ht="18" customHeight="1">
      <c r="A16" s="24" t="inlineStr">
        <is>
          <t>Paste your Funnel sheet + Content Log top performers into Claude.</t>
        </is>
      </c>
    </row>
    <row r="17" ht="18" customHeight="1">
      <c r="A17" s="24" t="inlineStr">
        <is>
          <t>Claude will diagnose bottlenecks and suggest fixes.</t>
        </is>
      </c>
    </row>
    <row r="18" ht="18" customHeight="1">
      <c r="A18" s="24" t="inlineStr"/>
    </row>
    <row r="19" ht="22" customHeight="1">
      <c r="A19" s="25" t="inlineStr">
        <is>
          <t>BENCHMARKS</t>
        </is>
      </c>
    </row>
    <row r="20" ht="18" customHeight="1">
      <c r="A20" s="24" t="inlineStr">
        <is>
          <t>Reach → Profile Visit:   &gt;= 3%</t>
        </is>
      </c>
    </row>
    <row r="21" ht="18" customHeight="1">
      <c r="A21" s="24" t="inlineStr">
        <is>
          <t>Profile Visit → DM:      &gt;= 5%</t>
        </is>
      </c>
    </row>
    <row r="22" ht="18" customHeight="1">
      <c r="A22" s="24" t="inlineStr">
        <is>
          <t>DM → Call Booked:        &gt;= 30%</t>
        </is>
      </c>
    </row>
    <row r="23" ht="18" customHeight="1">
      <c r="A23" s="24" t="inlineStr">
        <is>
          <t>Call → Show:             &gt;= 60%</t>
        </is>
      </c>
    </row>
    <row r="24" ht="18" customHeight="1">
      <c r="A24" s="24" t="inlineStr">
        <is>
          <t>Show → Close:            &gt;= 20%  (high ticket)</t>
        </is>
      </c>
    </row>
    <row r="25" ht="18" customHeight="1">
      <c r="A25" s="24" t="inlineStr"/>
    </row>
    <row r="26" ht="22" customHeight="1">
      <c r="A26" s="25" t="inlineStr">
        <is>
          <t>WHERE DATA COMES FROM (Instagram)</t>
        </is>
      </c>
    </row>
    <row r="27" ht="18" customHeight="1">
      <c r="A27" s="24" t="inlineStr">
        <is>
          <t>Views / Accounts Reached / Interactions / Profile Visits → Insights &gt; Overview</t>
        </is>
      </c>
    </row>
    <row r="28" ht="18" customHeight="1">
      <c r="A28" s="24" t="inlineStr">
        <is>
          <t>Reel Views / Story Views → Insights &gt; Content (sum per type)</t>
        </is>
      </c>
    </row>
    <row r="29" ht="18" customHeight="1">
      <c r="A29" s="24" t="inlineStr">
        <is>
          <t>DMs Started / New Contacts / Response Rate → Insights &gt; Messages</t>
        </is>
      </c>
    </row>
    <row r="30" ht="18" customHeight="1">
      <c r="A30" s="24" t="inlineStr">
        <is>
          <t>Calls / Closed → your own tracking (Notion/CRM/memory)</t>
        </is>
      </c>
    </row>
  </sheetData>
  <mergeCells count="30">
    <mergeCell ref="A8"/>
    <mergeCell ref="A22"/>
    <mergeCell ref="A17"/>
    <mergeCell ref="A4"/>
    <mergeCell ref="A29"/>
    <mergeCell ref="A20"/>
    <mergeCell ref="A10"/>
    <mergeCell ref="A28"/>
    <mergeCell ref="A19"/>
    <mergeCell ref="A13"/>
    <mergeCell ref="A9"/>
    <mergeCell ref="A30"/>
    <mergeCell ref="A15"/>
    <mergeCell ref="A24"/>
    <mergeCell ref="A11"/>
    <mergeCell ref="A1"/>
    <mergeCell ref="A6"/>
    <mergeCell ref="A7"/>
    <mergeCell ref="A25"/>
    <mergeCell ref="A16"/>
    <mergeCell ref="A27"/>
    <mergeCell ref="A12"/>
    <mergeCell ref="A18"/>
    <mergeCell ref="A3"/>
    <mergeCell ref="A21"/>
    <mergeCell ref="A26"/>
    <mergeCell ref="A2"/>
    <mergeCell ref="A14"/>
    <mergeCell ref="A5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2026-03-06T16:52:38Z</dcterms:created>
  <dcterms:modified xmlns:dcterms="http://purl.org/dc/terms/" xmlns:xsi="http://www.w3.org/2001/XMLSchema-instance" xsi:type="dcterms:W3CDTF">2026-03-06T16:52:40Z</dcterms:modified>
</cp:coreProperties>
</file>